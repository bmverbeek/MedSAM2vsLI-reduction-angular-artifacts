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20213282\Documents\uni\BEP\codes\data\data_prostate\"/>
    </mc:Choice>
  </mc:AlternateContent>
  <xr:revisionPtr revIDLastSave="0" documentId="13_ncr:1_{132F4096-48CF-4B1D-A2BC-9A9C1C236C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chart.v1.0" hidden="1">Sheet1!$A$52:$B$89</definedName>
    <definedName name="_xlchart.v1.1" hidden="1">Sheet1!$D$51</definedName>
    <definedName name="_xlchart.v1.10" hidden="1">Sheet1!$E$51</definedName>
    <definedName name="_xlchart.v1.11" hidden="1">Sheet1!$E$52:$E$89</definedName>
    <definedName name="_xlchart.v1.2" hidden="1">Sheet1!$D$52:$D$89</definedName>
    <definedName name="_xlchart.v1.3" hidden="1">Sheet1!$A$52:$B$89</definedName>
    <definedName name="_xlchart.v1.4" hidden="1">Sheet1!$C$51</definedName>
    <definedName name="_xlchart.v1.5" hidden="1">Sheet1!$C$52:$C$89</definedName>
    <definedName name="_xlchart.v1.6" hidden="1">Sheet1!$A$52:$B$89</definedName>
    <definedName name="_xlchart.v1.7" hidden="1">Sheet1!$E$51</definedName>
    <definedName name="_xlchart.v1.8" hidden="1">Sheet1!$E$52:$E$89</definedName>
    <definedName name="_xlchart.v1.9" hidden="1">Sheet1!$A$52:$B$89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" l="1"/>
  <c r="O60" i="1"/>
  <c r="O59" i="1"/>
  <c r="O57" i="1"/>
  <c r="O52" i="1"/>
  <c r="O56" i="1"/>
  <c r="K59" i="1"/>
  <c r="K60" i="1"/>
  <c r="M60" i="1" s="1"/>
  <c r="I60" i="1"/>
  <c r="I59" i="1"/>
  <c r="K57" i="1"/>
  <c r="M57" i="1" s="1"/>
  <c r="K56" i="1"/>
  <c r="M56" i="1" s="1"/>
  <c r="K52" i="1"/>
  <c r="M52" i="1" s="1"/>
  <c r="K53" i="1"/>
  <c r="M53" i="1" s="1"/>
  <c r="I57" i="1"/>
  <c r="I56" i="1"/>
  <c r="M59" i="1"/>
  <c r="I53" i="1"/>
  <c r="I52" i="1"/>
</calcChain>
</file>

<file path=xl/sharedStrings.xml><?xml version="1.0" encoding="utf-8"?>
<sst xmlns="http://schemas.openxmlformats.org/spreadsheetml/2006/main" count="208" uniqueCount="32">
  <si>
    <t>case</t>
  </si>
  <si>
    <t>view</t>
  </si>
  <si>
    <t>dice LI vs SAM</t>
  </si>
  <si>
    <t>HF95 LI vs SAM</t>
  </si>
  <si>
    <t>AHD LI vs SAM</t>
  </si>
  <si>
    <t>Debug_results</t>
  </si>
  <si>
    <t>dice Base vs LI</t>
  </si>
  <si>
    <t>dice Base vs SAM</t>
  </si>
  <si>
    <t>dice Base vs Orig</t>
  </si>
  <si>
    <t>HF95 Base vs LI</t>
  </si>
  <si>
    <t>HF95 Base vs SAM</t>
  </si>
  <si>
    <t>HF95 Base vs Orig</t>
  </si>
  <si>
    <t>coronal</t>
  </si>
  <si>
    <t>Remaining result</t>
  </si>
  <si>
    <t>sagittal</t>
  </si>
  <si>
    <t>Dice</t>
  </si>
  <si>
    <t>Mean</t>
  </si>
  <si>
    <t>variance</t>
  </si>
  <si>
    <t>std</t>
  </si>
  <si>
    <t>Cor</t>
  </si>
  <si>
    <t>Sagg</t>
  </si>
  <si>
    <t>H95</t>
  </si>
  <si>
    <t>Nifti vs Base comparison</t>
  </si>
  <si>
    <t>H95 base vs orig</t>
  </si>
  <si>
    <t>Niftvsbase</t>
  </si>
  <si>
    <t>median:</t>
  </si>
  <si>
    <t>ASSD LI vs SAM</t>
  </si>
  <si>
    <t>ASSD</t>
  </si>
  <si>
    <t>assd Base vs LI</t>
  </si>
  <si>
    <t>assd Base vs SAM</t>
  </si>
  <si>
    <t>assd Base vs Orig</t>
  </si>
  <si>
    <t>assd Bas vs 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</si>
</sst>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Dice score: Linear interpolation vs MedSAM2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Dice score: Linear interpolation vs MedSAM2 </a:t>
          </a:r>
        </a:p>
      </cx:txPr>
    </cx:title>
    <cx:plotArea>
      <cx:plotAreaRegion>
        <cx:series layoutId="boxWhisker" uniqueId="{1EDFD1AC-3711-4E61-B953-6E14ACF91E6E}">
          <cx:tx>
            <cx:txData>
              <cx:f>_xlchart.v1.4</cx:f>
              <cx:v>dice LI vs SAM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Hausdorff 95%: Linear interpolation vs MedSAM2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Hausdorff 95%: Linear interpolation vs MedSAM2</a:t>
          </a:r>
        </a:p>
      </cx:txPr>
    </cx:title>
    <cx:plotArea>
      <cx:plotAreaRegion>
        <cx:series layoutId="boxWhisker" uniqueId="{01F29C36-D255-40F5-AA8D-B42B951AD819}">
          <cx:tx>
            <cx:txData>
              <cx:f>_xlchart.v1.1</cx:f>
              <cx:v>HF95 LI vs SAM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Average Symmetric Surface Distance: Linear interpolation vs MedSAM2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Average Symmetric Surface Distance: Linear interpolation vs MedSAM2</a:t>
          </a:r>
        </a:p>
      </cx:txPr>
    </cx:title>
    <cx:plotArea>
      <cx:plotAreaRegion>
        <cx:series layoutId="boxWhisker" uniqueId="{4A9CE565-79F6-4E03-BF73-7D52B987764A}">
          <cx:tx>
            <cx:txData>
              <cx:f>_xlchart.v1.7</cx:f>
              <cx:v>ASSD LI vs SAM</cx:v>
            </cx:txData>
          </cx:tx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604978</xdr:colOff>
      <xdr:row>59</xdr:row>
      <xdr:rowOff>187234</xdr:rowOff>
    </xdr:from>
    <xdr:to>
      <xdr:col>12</xdr:col>
      <xdr:colOff>155754</xdr:colOff>
      <xdr:row>74</xdr:row>
      <xdr:rowOff>108667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F4E214-A8C2-45D4-922A-5E19E4B3B3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29178" y="11426734"/>
              <a:ext cx="4322801" cy="27789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569867</xdr:colOff>
      <xdr:row>60</xdr:row>
      <xdr:rowOff>72662</xdr:rowOff>
    </xdr:from>
    <xdr:to>
      <xdr:col>19</xdr:col>
      <xdr:colOff>497162</xdr:colOff>
      <xdr:row>74</xdr:row>
      <xdr:rowOff>186163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B5EF415-090A-2307-7D09-B8ED21A8CA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66092" y="11502662"/>
              <a:ext cx="4318320" cy="2780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72693</xdr:colOff>
      <xdr:row>75</xdr:row>
      <xdr:rowOff>110915</xdr:rowOff>
    </xdr:from>
    <xdr:to>
      <xdr:col>12</xdr:col>
      <xdr:colOff>233069</xdr:colOff>
      <xdr:row>90</xdr:row>
      <xdr:rowOff>30653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4708F76-EB33-76D0-F417-E6E352378B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6493" y="14398415"/>
              <a:ext cx="4322801" cy="27772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l-NL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zoomScale="70" zoomScaleNormal="70" workbookViewId="0">
      <selection activeCell="R1" sqref="R1"/>
    </sheetView>
  </sheetViews>
  <sheetFormatPr defaultRowHeight="15" x14ac:dyDescent="0.25"/>
  <cols>
    <col min="3" max="3" width="10.28515625" customWidth="1"/>
    <col min="8" max="8" width="11" bestFit="1" customWidth="1"/>
    <col min="9" max="9" width="12" bestFit="1" customWidth="1"/>
    <col min="11" max="11" width="12" bestFit="1" customWidth="1"/>
    <col min="13" max="13" width="11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28</v>
      </c>
      <c r="M1" s="1" t="s">
        <v>29</v>
      </c>
      <c r="N1" s="1" t="s">
        <v>30</v>
      </c>
      <c r="O1" s="1" t="s">
        <v>22</v>
      </c>
      <c r="P1" s="1" t="s">
        <v>8</v>
      </c>
      <c r="Q1" s="1" t="s">
        <v>23</v>
      </c>
      <c r="R1" s="1" t="s">
        <v>31</v>
      </c>
      <c r="S1" s="1"/>
      <c r="T1" s="1"/>
      <c r="U1" s="1"/>
    </row>
    <row r="2" spans="1:21" x14ac:dyDescent="0.25">
      <c r="A2">
        <v>1</v>
      </c>
      <c r="B2" t="s">
        <v>12</v>
      </c>
      <c r="C2">
        <v>0.93855292628298759</v>
      </c>
      <c r="D2">
        <v>3.1500000953674321</v>
      </c>
      <c r="E2">
        <v>0.21224600468101329</v>
      </c>
      <c r="F2" t="s">
        <v>13</v>
      </c>
      <c r="G2">
        <v>0.95996015936254975</v>
      </c>
      <c r="H2">
        <v>0.97741542498360046</v>
      </c>
      <c r="I2">
        <v>2.8125</v>
      </c>
      <c r="J2">
        <v>0</v>
      </c>
      <c r="K2">
        <v>0.46875</v>
      </c>
      <c r="L2">
        <v>0.14420376946664401</v>
      </c>
      <c r="M2">
        <v>6.2241959511613952E-2</v>
      </c>
      <c r="N2">
        <v>5.6372830288069213E-2</v>
      </c>
      <c r="O2" t="s">
        <v>24</v>
      </c>
      <c r="P2">
        <v>0.95061609549480175</v>
      </c>
      <c r="Q2">
        <v>0.46875</v>
      </c>
      <c r="R2">
        <v>5.6372830288069213E-2</v>
      </c>
    </row>
    <row r="3" spans="1:21" x14ac:dyDescent="0.25">
      <c r="A3">
        <v>2</v>
      </c>
      <c r="B3" t="s">
        <v>12</v>
      </c>
      <c r="C3">
        <v>0.94956563706563701</v>
      </c>
      <c r="D3">
        <v>2.8125</v>
      </c>
      <c r="E3">
        <v>0.14205098433282981</v>
      </c>
      <c r="F3" t="s">
        <v>13</v>
      </c>
      <c r="G3">
        <v>0.97408687068114508</v>
      </c>
      <c r="H3">
        <v>0.97552365262414686</v>
      </c>
      <c r="I3">
        <v>2.34375</v>
      </c>
      <c r="J3">
        <v>0</v>
      </c>
      <c r="K3">
        <v>0</v>
      </c>
      <c r="L3">
        <v>7.2419177138324645E-2</v>
      </c>
      <c r="M3">
        <v>6.5247287651952812E-2</v>
      </c>
      <c r="N3">
        <v>5.3418911775233828E-2</v>
      </c>
      <c r="O3" t="s">
        <v>24</v>
      </c>
      <c r="P3">
        <v>0.95725026852846407</v>
      </c>
      <c r="Q3">
        <v>0</v>
      </c>
      <c r="R3">
        <v>5.3418911775233828E-2</v>
      </c>
    </row>
    <row r="4" spans="1:21" x14ac:dyDescent="0.25">
      <c r="A4">
        <v>3</v>
      </c>
      <c r="B4" t="s">
        <v>12</v>
      </c>
      <c r="C4">
        <v>0.9454681089145841</v>
      </c>
      <c r="D4">
        <v>2.8125</v>
      </c>
      <c r="E4">
        <v>0.18217340332726911</v>
      </c>
      <c r="F4" t="s">
        <v>13</v>
      </c>
      <c r="G4">
        <v>0.9748437034831795</v>
      </c>
      <c r="H4">
        <v>0.97140362366295574</v>
      </c>
      <c r="I4">
        <v>0</v>
      </c>
      <c r="J4">
        <v>0</v>
      </c>
      <c r="K4">
        <v>0</v>
      </c>
      <c r="L4">
        <v>8.1854458590937554E-2</v>
      </c>
      <c r="M4">
        <v>7.8677290393481675E-2</v>
      </c>
      <c r="N4">
        <v>3.7400093529159177E-2</v>
      </c>
      <c r="O4" t="s">
        <v>24</v>
      </c>
      <c r="P4">
        <v>0.96777542922831605</v>
      </c>
      <c r="Q4">
        <v>0</v>
      </c>
      <c r="R4">
        <v>3.7400093529159177E-2</v>
      </c>
    </row>
    <row r="5" spans="1:21" x14ac:dyDescent="0.25">
      <c r="A5">
        <v>4</v>
      </c>
      <c r="B5" t="s">
        <v>12</v>
      </c>
      <c r="C5">
        <v>0.92022585782539457</v>
      </c>
      <c r="D5">
        <v>3</v>
      </c>
      <c r="E5">
        <v>0.22604127759101189</v>
      </c>
      <c r="F5" t="s">
        <v>13</v>
      </c>
      <c r="G5">
        <v>0.94149014960746558</v>
      </c>
      <c r="H5">
        <v>0.97507532182963574</v>
      </c>
      <c r="I5">
        <v>2.8125</v>
      </c>
      <c r="J5">
        <v>0</v>
      </c>
      <c r="K5">
        <v>0.9375</v>
      </c>
      <c r="L5">
        <v>0.17938664631526369</v>
      </c>
      <c r="M5">
        <v>6.3734991097078988E-2</v>
      </c>
      <c r="N5">
        <v>7.9723183549815599E-2</v>
      </c>
      <c r="O5" t="s">
        <v>24</v>
      </c>
      <c r="P5">
        <v>0.93568834128623313</v>
      </c>
      <c r="Q5">
        <v>0.9375</v>
      </c>
      <c r="R5">
        <v>7.9723183549815599E-2</v>
      </c>
    </row>
    <row r="6" spans="1:21" x14ac:dyDescent="0.25">
      <c r="A6">
        <v>5</v>
      </c>
      <c r="B6" t="s">
        <v>12</v>
      </c>
      <c r="C6">
        <v>0.94592022151077271</v>
      </c>
      <c r="D6">
        <v>2.8125</v>
      </c>
      <c r="E6">
        <v>0.1559784513979966</v>
      </c>
      <c r="F6" t="s">
        <v>13</v>
      </c>
      <c r="G6">
        <v>0.96448400458270911</v>
      </c>
      <c r="H6">
        <v>0.97859531772575248</v>
      </c>
      <c r="I6">
        <v>2.34375</v>
      </c>
      <c r="J6">
        <v>0</v>
      </c>
      <c r="K6">
        <v>0.46875</v>
      </c>
      <c r="L6">
        <v>0.1104983719961129</v>
      </c>
      <c r="M6">
        <v>5.7785479716271022E-2</v>
      </c>
      <c r="N6">
        <v>4.9351076581324989E-2</v>
      </c>
      <c r="O6" t="s">
        <v>24</v>
      </c>
      <c r="P6">
        <v>0.96059261811447516</v>
      </c>
      <c r="Q6">
        <v>0.46875</v>
      </c>
      <c r="R6">
        <v>4.9351076581324989E-2</v>
      </c>
    </row>
    <row r="7" spans="1:21" x14ac:dyDescent="0.25">
      <c r="A7">
        <v>6</v>
      </c>
      <c r="B7" t="s">
        <v>12</v>
      </c>
      <c r="C7">
        <v>0.95841092489137181</v>
      </c>
      <c r="D7">
        <v>2.8125</v>
      </c>
      <c r="E7">
        <v>0.12553884435993359</v>
      </c>
      <c r="F7" t="s">
        <v>13</v>
      </c>
      <c r="G7">
        <v>0.97216975192041299</v>
      </c>
      <c r="H7">
        <v>0.98550024166263894</v>
      </c>
      <c r="I7">
        <v>1.875</v>
      </c>
      <c r="J7">
        <v>0</v>
      </c>
      <c r="K7">
        <v>0</v>
      </c>
      <c r="L7">
        <v>8.4490951913742049E-2</v>
      </c>
      <c r="M7">
        <v>3.6412563643431477E-2</v>
      </c>
      <c r="N7">
        <v>3.4789194120887212E-2</v>
      </c>
      <c r="O7" t="s">
        <v>24</v>
      </c>
      <c r="P7">
        <v>0.96543077198638727</v>
      </c>
      <c r="Q7">
        <v>0</v>
      </c>
      <c r="R7">
        <v>3.4789194120887212E-2</v>
      </c>
    </row>
    <row r="8" spans="1:21" x14ac:dyDescent="0.25">
      <c r="A8">
        <v>7</v>
      </c>
      <c r="B8" t="s">
        <v>12</v>
      </c>
      <c r="C8">
        <v>0.95451619824072087</v>
      </c>
      <c r="D8">
        <v>2.8125</v>
      </c>
      <c r="E8">
        <v>0.1246937794901324</v>
      </c>
      <c r="F8" t="s">
        <v>13</v>
      </c>
      <c r="G8">
        <v>0.96970357454228417</v>
      </c>
      <c r="H8">
        <v>0.98479166666666662</v>
      </c>
      <c r="I8">
        <v>1.875</v>
      </c>
      <c r="J8">
        <v>0</v>
      </c>
      <c r="K8">
        <v>0</v>
      </c>
      <c r="L8">
        <v>7.9686886000735174E-2</v>
      </c>
      <c r="M8">
        <v>3.8575510753792987E-2</v>
      </c>
      <c r="N8">
        <v>3.7371294259096209E-2</v>
      </c>
      <c r="O8" t="s">
        <v>24</v>
      </c>
      <c r="P8">
        <v>0.96642210678519791</v>
      </c>
      <c r="Q8">
        <v>0</v>
      </c>
      <c r="R8">
        <v>3.7371294259096209E-2</v>
      </c>
    </row>
    <row r="9" spans="1:21" x14ac:dyDescent="0.25">
      <c r="A9">
        <v>8</v>
      </c>
      <c r="B9" t="s">
        <v>12</v>
      </c>
      <c r="C9">
        <v>0.96124260355029589</v>
      </c>
      <c r="D9">
        <v>2.34375</v>
      </c>
      <c r="E9">
        <v>0.1160478705547542</v>
      </c>
      <c r="F9" t="s">
        <v>13</v>
      </c>
      <c r="G9">
        <v>0.97552919981984687</v>
      </c>
      <c r="H9">
        <v>0.98569984110934561</v>
      </c>
      <c r="I9">
        <v>0</v>
      </c>
      <c r="J9">
        <v>0</v>
      </c>
      <c r="K9">
        <v>0</v>
      </c>
      <c r="L9">
        <v>6.6041640209078878E-2</v>
      </c>
      <c r="M9">
        <v>3.6069195734047821E-2</v>
      </c>
      <c r="N9">
        <v>5.0679747175823672E-2</v>
      </c>
      <c r="O9" t="s">
        <v>24</v>
      </c>
      <c r="P9">
        <v>0.95859872611464969</v>
      </c>
      <c r="Q9">
        <v>0</v>
      </c>
      <c r="R9">
        <v>5.0679747175823672E-2</v>
      </c>
    </row>
    <row r="10" spans="1:21" x14ac:dyDescent="0.25">
      <c r="A10">
        <v>9</v>
      </c>
      <c r="B10" t="s">
        <v>12</v>
      </c>
      <c r="C10">
        <v>0.96353039134054952</v>
      </c>
      <c r="D10">
        <v>2.34375</v>
      </c>
      <c r="E10">
        <v>9.9907141913439856E-2</v>
      </c>
      <c r="F10" t="s">
        <v>13</v>
      </c>
      <c r="G10">
        <v>0.98352861266768554</v>
      </c>
      <c r="H10">
        <v>0.98000655522779412</v>
      </c>
      <c r="I10">
        <v>0</v>
      </c>
      <c r="J10">
        <v>0</v>
      </c>
      <c r="K10">
        <v>0</v>
      </c>
      <c r="L10">
        <v>4.2223521550283999E-2</v>
      </c>
      <c r="M10">
        <v>5.7014981232414601E-2</v>
      </c>
      <c r="N10">
        <v>4.36115449854865E-2</v>
      </c>
      <c r="O10" t="s">
        <v>24</v>
      </c>
      <c r="P10">
        <v>0.95982885666745899</v>
      </c>
      <c r="Q10">
        <v>0</v>
      </c>
      <c r="R10">
        <v>4.36115449854865E-2</v>
      </c>
    </row>
    <row r="11" spans="1:21" x14ac:dyDescent="0.25">
      <c r="A11">
        <v>10</v>
      </c>
      <c r="B11" t="s">
        <v>12</v>
      </c>
      <c r="C11">
        <v>0.96171818835370237</v>
      </c>
      <c r="D11">
        <v>2.34375</v>
      </c>
      <c r="E11">
        <v>0.1140519443611122</v>
      </c>
      <c r="F11" t="s">
        <v>13</v>
      </c>
      <c r="G11">
        <v>0.96957624049257518</v>
      </c>
      <c r="H11">
        <v>0.99040474528960221</v>
      </c>
      <c r="I11">
        <v>1.875</v>
      </c>
      <c r="J11">
        <v>0</v>
      </c>
      <c r="K11">
        <v>0</v>
      </c>
      <c r="L11">
        <v>9.1699212185700887E-2</v>
      </c>
      <c r="M11">
        <v>2.47390993382418E-2</v>
      </c>
      <c r="N11">
        <v>4.4996115916156453E-2</v>
      </c>
      <c r="O11" t="s">
        <v>24</v>
      </c>
      <c r="P11">
        <v>0.96383434643809862</v>
      </c>
      <c r="Q11">
        <v>0</v>
      </c>
      <c r="R11">
        <v>4.4996115916156453E-2</v>
      </c>
    </row>
    <row r="12" spans="1:21" x14ac:dyDescent="0.25">
      <c r="A12">
        <v>11</v>
      </c>
      <c r="B12" t="s">
        <v>12</v>
      </c>
      <c r="C12">
        <v>0.97572611196857018</v>
      </c>
      <c r="D12">
        <v>0</v>
      </c>
      <c r="E12">
        <v>8.0962048702279008E-2</v>
      </c>
      <c r="F12" t="s">
        <v>13</v>
      </c>
      <c r="G12">
        <v>0.98807495741056217</v>
      </c>
      <c r="H12">
        <v>0.98765774511163495</v>
      </c>
      <c r="I12">
        <v>0</v>
      </c>
      <c r="J12">
        <v>0</v>
      </c>
      <c r="K12">
        <v>0</v>
      </c>
      <c r="L12">
        <v>3.7948618845804673E-2</v>
      </c>
      <c r="M12">
        <v>3.2084861698293311E-2</v>
      </c>
      <c r="N12">
        <v>2.665035868056554E-2</v>
      </c>
      <c r="O12" t="s">
        <v>24</v>
      </c>
      <c r="P12">
        <v>0.96709065213002221</v>
      </c>
      <c r="Q12">
        <v>0</v>
      </c>
      <c r="R12">
        <v>2.665035868056554E-2</v>
      </c>
    </row>
    <row r="13" spans="1:21" x14ac:dyDescent="0.25">
      <c r="A13">
        <v>12</v>
      </c>
      <c r="B13" t="s">
        <v>12</v>
      </c>
      <c r="C13">
        <v>0.96625929861849091</v>
      </c>
      <c r="D13">
        <v>2.34375</v>
      </c>
      <c r="E13">
        <v>0.1141023925068194</v>
      </c>
      <c r="F13" t="s">
        <v>13</v>
      </c>
      <c r="G13">
        <v>0.97939948835330548</v>
      </c>
      <c r="H13">
        <v>0.98685067048561381</v>
      </c>
      <c r="I13">
        <v>0</v>
      </c>
      <c r="J13">
        <v>0</v>
      </c>
      <c r="K13">
        <v>0</v>
      </c>
      <c r="L13">
        <v>6.9800462383079021E-2</v>
      </c>
      <c r="M13">
        <v>3.6476306065329138E-2</v>
      </c>
      <c r="N13">
        <v>3.5195234182217768E-2</v>
      </c>
      <c r="O13" t="s">
        <v>24</v>
      </c>
      <c r="P13">
        <v>0.96330332194970503</v>
      </c>
      <c r="Q13">
        <v>0</v>
      </c>
      <c r="R13">
        <v>3.5195234182217768E-2</v>
      </c>
    </row>
    <row r="14" spans="1:21" x14ac:dyDescent="0.25">
      <c r="A14">
        <v>13</v>
      </c>
      <c r="B14" t="s">
        <v>12</v>
      </c>
      <c r="C14">
        <v>0.92808566054116626</v>
      </c>
      <c r="D14">
        <v>2.8125</v>
      </c>
      <c r="E14">
        <v>0.23571035643234481</v>
      </c>
      <c r="F14" t="s">
        <v>13</v>
      </c>
      <c r="G14">
        <v>0.96282311937264009</v>
      </c>
      <c r="H14">
        <v>0.96637365703920752</v>
      </c>
      <c r="I14">
        <v>2.34375</v>
      </c>
      <c r="J14">
        <v>0</v>
      </c>
      <c r="K14">
        <v>0</v>
      </c>
      <c r="L14">
        <v>0.12911896611020371</v>
      </c>
      <c r="M14">
        <v>8.9467165189628051E-2</v>
      </c>
      <c r="N14">
        <v>3.755846405021139E-2</v>
      </c>
      <c r="O14" t="s">
        <v>24</v>
      </c>
      <c r="P14">
        <v>0.95905743740795291</v>
      </c>
      <c r="Q14">
        <v>0</v>
      </c>
      <c r="R14">
        <v>3.755846405021139E-2</v>
      </c>
    </row>
    <row r="15" spans="1:21" x14ac:dyDescent="0.25">
      <c r="A15">
        <v>14</v>
      </c>
      <c r="B15" t="s">
        <v>12</v>
      </c>
      <c r="C15">
        <v>0.92398713826366563</v>
      </c>
      <c r="D15">
        <v>3.149999856948853</v>
      </c>
      <c r="E15">
        <v>0.21207088923602471</v>
      </c>
      <c r="F15" t="s">
        <v>13</v>
      </c>
      <c r="G15">
        <v>0.94290589316183226</v>
      </c>
      <c r="H15">
        <v>0.98099878197320345</v>
      </c>
      <c r="I15">
        <v>2.8125</v>
      </c>
      <c r="J15">
        <v>0</v>
      </c>
      <c r="K15">
        <v>1.40625</v>
      </c>
      <c r="L15">
        <v>0.14252138555201441</v>
      </c>
      <c r="M15">
        <v>4.903553024080419E-2</v>
      </c>
      <c r="N15">
        <v>9.158189610776632E-2</v>
      </c>
      <c r="O15" t="s">
        <v>24</v>
      </c>
      <c r="P15">
        <v>0.92793813745750287</v>
      </c>
      <c r="Q15">
        <v>1.40625</v>
      </c>
      <c r="R15">
        <v>9.158189610776632E-2</v>
      </c>
    </row>
    <row r="16" spans="1:21" x14ac:dyDescent="0.25">
      <c r="A16">
        <v>15</v>
      </c>
      <c r="B16" t="s">
        <v>12</v>
      </c>
      <c r="C16">
        <v>0.93663530713890431</v>
      </c>
      <c r="D16">
        <v>2.8125</v>
      </c>
      <c r="E16">
        <v>0.17918330225780549</v>
      </c>
      <c r="F16" t="s">
        <v>13</v>
      </c>
      <c r="G16">
        <v>0.9531184006757708</v>
      </c>
      <c r="H16">
        <v>0.98188070361063351</v>
      </c>
      <c r="I16">
        <v>2.8125</v>
      </c>
      <c r="J16">
        <v>0</v>
      </c>
      <c r="K16">
        <v>0.9375</v>
      </c>
      <c r="L16">
        <v>0.13925201481794319</v>
      </c>
      <c r="M16">
        <v>4.7574866610568367E-2</v>
      </c>
      <c r="N16">
        <v>7.319571692012164E-2</v>
      </c>
      <c r="O16" t="s">
        <v>24</v>
      </c>
      <c r="P16">
        <v>0.94253177966101698</v>
      </c>
      <c r="Q16">
        <v>0.9375</v>
      </c>
      <c r="R16">
        <v>7.319571692012164E-2</v>
      </c>
    </row>
    <row r="17" spans="1:18" x14ac:dyDescent="0.25">
      <c r="A17">
        <v>16</v>
      </c>
      <c r="B17" t="s">
        <v>12</v>
      </c>
      <c r="C17">
        <v>0.96637646352446716</v>
      </c>
      <c r="D17">
        <v>1.979166626930237</v>
      </c>
      <c r="E17">
        <v>9.0177644443851179E-2</v>
      </c>
      <c r="F17" t="s">
        <v>13</v>
      </c>
      <c r="G17">
        <v>0.98335115319993893</v>
      </c>
      <c r="H17">
        <v>0.98212967065426082</v>
      </c>
      <c r="I17">
        <v>0</v>
      </c>
      <c r="J17">
        <v>0</v>
      </c>
      <c r="K17">
        <v>0</v>
      </c>
      <c r="L17">
        <v>4.595820926776073E-2</v>
      </c>
      <c r="M17">
        <v>4.4857198772446177E-2</v>
      </c>
      <c r="N17">
        <v>3.8825559533952808E-2</v>
      </c>
      <c r="O17" t="s">
        <v>24</v>
      </c>
      <c r="P17">
        <v>0.96724584103512012</v>
      </c>
      <c r="Q17">
        <v>0</v>
      </c>
      <c r="R17">
        <v>3.8825559533952808E-2</v>
      </c>
    </row>
    <row r="18" spans="1:18" x14ac:dyDescent="0.25">
      <c r="A18">
        <v>17</v>
      </c>
      <c r="B18" t="s">
        <v>12</v>
      </c>
      <c r="C18">
        <v>0.94701429772918422</v>
      </c>
      <c r="D18">
        <v>2.8125</v>
      </c>
      <c r="E18">
        <v>0.1419052065043705</v>
      </c>
      <c r="F18" t="s">
        <v>13</v>
      </c>
      <c r="G18">
        <v>0.96642377482497499</v>
      </c>
      <c r="H18">
        <v>0.97978016013027547</v>
      </c>
      <c r="I18">
        <v>2.34375</v>
      </c>
      <c r="J18">
        <v>0</v>
      </c>
      <c r="K18">
        <v>0.46875</v>
      </c>
      <c r="L18">
        <v>8.6237080840551122E-2</v>
      </c>
      <c r="M18">
        <v>5.1217848851774647E-2</v>
      </c>
      <c r="N18">
        <v>5.7765096400007702E-2</v>
      </c>
      <c r="O18" t="s">
        <v>24</v>
      </c>
      <c r="P18">
        <v>0.9492513581555585</v>
      </c>
      <c r="Q18">
        <v>0.46875</v>
      </c>
      <c r="R18">
        <v>5.7765096400007702E-2</v>
      </c>
    </row>
    <row r="19" spans="1:18" x14ac:dyDescent="0.25">
      <c r="A19">
        <v>18</v>
      </c>
      <c r="B19" t="s">
        <v>12</v>
      </c>
      <c r="C19">
        <v>0.96156351791530947</v>
      </c>
      <c r="D19">
        <v>0</v>
      </c>
      <c r="E19">
        <v>0.12277908392765979</v>
      </c>
      <c r="F19" t="s">
        <v>13</v>
      </c>
      <c r="G19">
        <v>0.98413726124959533</v>
      </c>
      <c r="H19">
        <v>0.97723629368387299</v>
      </c>
      <c r="I19">
        <v>0</v>
      </c>
      <c r="J19">
        <v>0</v>
      </c>
      <c r="K19">
        <v>0</v>
      </c>
      <c r="L19">
        <v>5.3939441815785152E-2</v>
      </c>
      <c r="M19">
        <v>6.214733681934842E-2</v>
      </c>
      <c r="N19">
        <v>2.8591317124694409E-2</v>
      </c>
      <c r="O19" t="s">
        <v>24</v>
      </c>
      <c r="P19">
        <v>0.97268288391325386</v>
      </c>
      <c r="Q19">
        <v>0</v>
      </c>
      <c r="R19">
        <v>2.8591317124694409E-2</v>
      </c>
    </row>
    <row r="20" spans="1:18" x14ac:dyDescent="0.25">
      <c r="A20">
        <v>19</v>
      </c>
      <c r="B20" t="s">
        <v>12</v>
      </c>
      <c r="C20">
        <v>0.97353669664971976</v>
      </c>
      <c r="D20">
        <v>1.979166626930237</v>
      </c>
      <c r="E20">
        <v>9.4912719262752535E-2</v>
      </c>
      <c r="F20" t="s">
        <v>13</v>
      </c>
      <c r="G20">
        <v>0.98653643083421327</v>
      </c>
      <c r="H20">
        <v>0.98700630387237875</v>
      </c>
      <c r="I20">
        <v>0</v>
      </c>
      <c r="J20">
        <v>0</v>
      </c>
      <c r="K20">
        <v>0</v>
      </c>
      <c r="L20">
        <v>4.7599584497784363E-2</v>
      </c>
      <c r="M20">
        <v>3.3704263046202297E-2</v>
      </c>
      <c r="N20">
        <v>4.317400466230447E-2</v>
      </c>
      <c r="O20" t="s">
        <v>24</v>
      </c>
      <c r="P20">
        <v>0.96278952031388432</v>
      </c>
      <c r="Q20">
        <v>0</v>
      </c>
      <c r="R20">
        <v>4.317400466230447E-2</v>
      </c>
    </row>
    <row r="21" spans="1:18" x14ac:dyDescent="0.25">
      <c r="A21">
        <v>1</v>
      </c>
      <c r="B21" t="s">
        <v>14</v>
      </c>
      <c r="C21">
        <v>0.93123359580052489</v>
      </c>
      <c r="D21">
        <v>3.28125</v>
      </c>
      <c r="E21">
        <v>0.26555199989663059</v>
      </c>
      <c r="F21" t="s">
        <v>13</v>
      </c>
      <c r="G21">
        <v>0.96034646095547438</v>
      </c>
      <c r="H21">
        <v>0.97080753190951596</v>
      </c>
      <c r="I21">
        <v>2.8125</v>
      </c>
      <c r="J21">
        <v>1.875</v>
      </c>
      <c r="K21">
        <v>0.9375</v>
      </c>
      <c r="L21">
        <v>0.16289915223187651</v>
      </c>
      <c r="M21">
        <v>7.6854367743242336E-2</v>
      </c>
      <c r="N21">
        <v>9.2618016641246664E-2</v>
      </c>
      <c r="O21" t="s">
        <v>24</v>
      </c>
      <c r="P21">
        <v>0.93900873138161278</v>
      </c>
      <c r="Q21">
        <v>0.9375</v>
      </c>
      <c r="R21">
        <v>9.2618016641246664E-2</v>
      </c>
    </row>
    <row r="22" spans="1:18" x14ac:dyDescent="0.25">
      <c r="A22">
        <v>2</v>
      </c>
      <c r="B22" t="s">
        <v>14</v>
      </c>
      <c r="C22">
        <v>0.94361080398041386</v>
      </c>
      <c r="D22">
        <v>3.1500000953674321</v>
      </c>
      <c r="E22">
        <v>0.22392159887241461</v>
      </c>
      <c r="F22" t="s">
        <v>13</v>
      </c>
      <c r="G22">
        <v>0.96820016142050036</v>
      </c>
      <c r="H22">
        <v>0.97549019607843135</v>
      </c>
      <c r="I22">
        <v>2.34375</v>
      </c>
      <c r="J22">
        <v>0</v>
      </c>
      <c r="K22">
        <v>0.9375</v>
      </c>
      <c r="L22">
        <v>0.1319119380307327</v>
      </c>
      <c r="M22">
        <v>7.1178657273022292E-2</v>
      </c>
      <c r="N22">
        <v>0.15031936638779581</v>
      </c>
      <c r="O22" t="s">
        <v>24</v>
      </c>
      <c r="P22">
        <v>0.92872088157344124</v>
      </c>
      <c r="Q22">
        <v>0.9375</v>
      </c>
      <c r="R22">
        <v>0.15031936638779581</v>
      </c>
    </row>
    <row r="23" spans="1:18" x14ac:dyDescent="0.25">
      <c r="A23">
        <v>3</v>
      </c>
      <c r="B23" t="s">
        <v>14</v>
      </c>
      <c r="C23">
        <v>0.95127342623738587</v>
      </c>
      <c r="D23">
        <v>2.8125</v>
      </c>
      <c r="E23">
        <v>0.16950597210273591</v>
      </c>
      <c r="F23" t="s">
        <v>13</v>
      </c>
      <c r="G23">
        <v>0.96710905943450665</v>
      </c>
      <c r="H23">
        <v>0.97590025123290225</v>
      </c>
      <c r="I23">
        <v>2.34375</v>
      </c>
      <c r="J23">
        <v>0</v>
      </c>
      <c r="K23">
        <v>0.46875</v>
      </c>
      <c r="L23">
        <v>0.1398085661870308</v>
      </c>
      <c r="M23">
        <v>8.4387087763920954E-2</v>
      </c>
      <c r="N23">
        <v>7.5471413661148595E-2</v>
      </c>
      <c r="O23" t="s">
        <v>24</v>
      </c>
      <c r="P23">
        <v>0.95731707317073167</v>
      </c>
      <c r="Q23">
        <v>0.46875</v>
      </c>
      <c r="R23">
        <v>7.5471413661148595E-2</v>
      </c>
    </row>
    <row r="24" spans="1:18" x14ac:dyDescent="0.25">
      <c r="A24">
        <v>4</v>
      </c>
      <c r="B24" t="s">
        <v>14</v>
      </c>
      <c r="C24">
        <v>0.93225545675020205</v>
      </c>
      <c r="D24">
        <v>3</v>
      </c>
      <c r="E24">
        <v>0.19374346019096339</v>
      </c>
      <c r="F24" t="s">
        <v>13</v>
      </c>
      <c r="G24">
        <v>0.94976115961126673</v>
      </c>
      <c r="H24">
        <v>0.98243451463790443</v>
      </c>
      <c r="I24">
        <v>2.8125</v>
      </c>
      <c r="J24">
        <v>0</v>
      </c>
      <c r="K24">
        <v>0.9375</v>
      </c>
      <c r="L24">
        <v>0.13270935005478701</v>
      </c>
      <c r="M24">
        <v>4.6477513628104178E-2</v>
      </c>
      <c r="N24">
        <v>6.3554202549241837E-2</v>
      </c>
      <c r="O24" t="s">
        <v>24</v>
      </c>
      <c r="P24">
        <v>0.94941819045357401</v>
      </c>
      <c r="Q24">
        <v>0.9375</v>
      </c>
      <c r="R24">
        <v>6.3554202549241837E-2</v>
      </c>
    </row>
    <row r="25" spans="1:18" x14ac:dyDescent="0.25">
      <c r="A25">
        <v>5</v>
      </c>
      <c r="B25" t="s">
        <v>14</v>
      </c>
      <c r="C25">
        <v>0.9473579063030666</v>
      </c>
      <c r="D25">
        <v>2.8125</v>
      </c>
      <c r="E25">
        <v>0.18104892229024239</v>
      </c>
      <c r="F25" t="s">
        <v>13</v>
      </c>
      <c r="G25">
        <v>0.96797225622195027</v>
      </c>
      <c r="H25">
        <v>0.97452784503631962</v>
      </c>
      <c r="I25">
        <v>2.34375</v>
      </c>
      <c r="J25">
        <v>0</v>
      </c>
      <c r="K25">
        <v>0</v>
      </c>
      <c r="L25">
        <v>0.1279042638068569</v>
      </c>
      <c r="M25">
        <v>6.9066547351254046E-2</v>
      </c>
      <c r="N25">
        <v>5.4718143345724952E-2</v>
      </c>
      <c r="O25" t="s">
        <v>24</v>
      </c>
      <c r="P25">
        <v>0.9608130557998632</v>
      </c>
      <c r="Q25">
        <v>0</v>
      </c>
      <c r="R25">
        <v>5.4718143345724952E-2</v>
      </c>
    </row>
    <row r="26" spans="1:18" x14ac:dyDescent="0.25">
      <c r="A26">
        <v>6</v>
      </c>
      <c r="B26" t="s">
        <v>14</v>
      </c>
      <c r="C26">
        <v>0.95751005420528068</v>
      </c>
      <c r="D26">
        <v>2.8125</v>
      </c>
      <c r="E26">
        <v>0.1446000585104206</v>
      </c>
      <c r="F26" t="s">
        <v>13</v>
      </c>
      <c r="G26">
        <v>0.96993279094446405</v>
      </c>
      <c r="H26">
        <v>0.98760400747155719</v>
      </c>
      <c r="I26">
        <v>2.34375</v>
      </c>
      <c r="J26">
        <v>0</v>
      </c>
      <c r="K26">
        <v>1.40625</v>
      </c>
      <c r="L26">
        <v>0.1057122419399715</v>
      </c>
      <c r="M26">
        <v>3.1922684217392867E-2</v>
      </c>
      <c r="N26">
        <v>0.21453955870287539</v>
      </c>
      <c r="O26" t="s">
        <v>24</v>
      </c>
      <c r="P26">
        <v>0.92150849564857029</v>
      </c>
      <c r="Q26">
        <v>1.40625</v>
      </c>
      <c r="R26">
        <v>0.21453955870287539</v>
      </c>
    </row>
    <row r="27" spans="1:18" x14ac:dyDescent="0.25">
      <c r="A27">
        <v>7</v>
      </c>
      <c r="B27" t="s">
        <v>14</v>
      </c>
      <c r="C27">
        <v>0.94588744588744589</v>
      </c>
      <c r="D27">
        <v>3</v>
      </c>
      <c r="E27">
        <v>0.52223461578237551</v>
      </c>
      <c r="F27" t="s">
        <v>13</v>
      </c>
      <c r="G27">
        <v>0.97159090909090906</v>
      </c>
      <c r="H27">
        <v>0.9742569623215539</v>
      </c>
      <c r="I27">
        <v>1.875</v>
      </c>
      <c r="J27">
        <v>1.6874999999993181</v>
      </c>
      <c r="K27">
        <v>0.9375</v>
      </c>
      <c r="L27">
        <v>9.4962918117769982E-2</v>
      </c>
      <c r="M27">
        <v>0.37796542730737082</v>
      </c>
      <c r="N27">
        <v>8.7726504017138704E-2</v>
      </c>
      <c r="O27" t="s">
        <v>24</v>
      </c>
      <c r="P27">
        <v>0.95016329986694081</v>
      </c>
      <c r="Q27">
        <v>0.9375</v>
      </c>
      <c r="R27">
        <v>8.7726504017138704E-2</v>
      </c>
    </row>
    <row r="28" spans="1:18" x14ac:dyDescent="0.25">
      <c r="A28">
        <v>8</v>
      </c>
      <c r="B28" t="s">
        <v>14</v>
      </c>
      <c r="C28">
        <v>0.96033327295779747</v>
      </c>
      <c r="D28">
        <v>2.8125</v>
      </c>
      <c r="E28">
        <v>0.14920450884987571</v>
      </c>
      <c r="F28" t="s">
        <v>13</v>
      </c>
      <c r="G28">
        <v>0.97337984211492568</v>
      </c>
      <c r="H28">
        <v>0.98446876103070946</v>
      </c>
      <c r="I28">
        <v>1.875</v>
      </c>
      <c r="J28">
        <v>0</v>
      </c>
      <c r="K28">
        <v>0.46875</v>
      </c>
      <c r="L28">
        <v>0.1013179190147882</v>
      </c>
      <c r="M28">
        <v>3.8612823570755628E-2</v>
      </c>
      <c r="N28">
        <v>7.9245522382163439E-2</v>
      </c>
      <c r="O28" t="s">
        <v>24</v>
      </c>
      <c r="P28">
        <v>0.94803441876159944</v>
      </c>
      <c r="Q28">
        <v>0.46875</v>
      </c>
      <c r="R28">
        <v>7.9245522382163439E-2</v>
      </c>
    </row>
    <row r="29" spans="1:18" x14ac:dyDescent="0.25">
      <c r="A29">
        <v>9</v>
      </c>
      <c r="B29" t="s">
        <v>14</v>
      </c>
      <c r="C29">
        <v>0.9502012072434608</v>
      </c>
      <c r="D29">
        <v>3</v>
      </c>
      <c r="E29">
        <v>0.23031501634875301</v>
      </c>
      <c r="F29" t="s">
        <v>13</v>
      </c>
      <c r="G29">
        <v>0.96971252566735111</v>
      </c>
      <c r="H29">
        <v>0.98045920859794822</v>
      </c>
      <c r="I29">
        <v>2.2031249999999152</v>
      </c>
      <c r="J29">
        <v>0</v>
      </c>
      <c r="K29">
        <v>0.9375</v>
      </c>
      <c r="L29">
        <v>0.1695627802690583</v>
      </c>
      <c r="M29">
        <v>5.082568268326846E-2</v>
      </c>
      <c r="N29">
        <v>0.1014943977391151</v>
      </c>
      <c r="O29" t="s">
        <v>24</v>
      </c>
      <c r="P29">
        <v>0.94003690036900367</v>
      </c>
      <c r="Q29">
        <v>0.9375</v>
      </c>
      <c r="R29">
        <v>0.1014943977391151</v>
      </c>
    </row>
    <row r="30" spans="1:18" x14ac:dyDescent="0.25">
      <c r="A30">
        <v>10</v>
      </c>
      <c r="B30" t="s">
        <v>14</v>
      </c>
      <c r="C30">
        <v>0.95970627000564868</v>
      </c>
      <c r="D30">
        <v>2.34375</v>
      </c>
      <c r="E30">
        <v>0.1218581016385125</v>
      </c>
      <c r="F30" t="s">
        <v>13</v>
      </c>
      <c r="G30">
        <v>0.9665561345333965</v>
      </c>
      <c r="H30">
        <v>0.99134396355353072</v>
      </c>
      <c r="I30">
        <v>2.0390624999997442</v>
      </c>
      <c r="J30">
        <v>0</v>
      </c>
      <c r="K30">
        <v>0</v>
      </c>
      <c r="L30">
        <v>0.1025346133044419</v>
      </c>
      <c r="M30">
        <v>2.3014310180885841E-2</v>
      </c>
      <c r="N30">
        <v>5.156913472564649E-2</v>
      </c>
      <c r="O30" t="s">
        <v>24</v>
      </c>
      <c r="P30">
        <v>0.9602729272343673</v>
      </c>
      <c r="Q30">
        <v>0</v>
      </c>
      <c r="R30">
        <v>5.156913472564649E-2</v>
      </c>
    </row>
    <row r="31" spans="1:18" x14ac:dyDescent="0.25">
      <c r="A31">
        <v>11</v>
      </c>
      <c r="B31" t="s">
        <v>14</v>
      </c>
      <c r="C31">
        <v>0.96317880794701982</v>
      </c>
      <c r="D31">
        <v>2.8125</v>
      </c>
      <c r="E31">
        <v>0.22007831852121029</v>
      </c>
      <c r="F31" t="s">
        <v>13</v>
      </c>
      <c r="G31">
        <v>0.97820823244552058</v>
      </c>
      <c r="H31">
        <v>0.98495850622406644</v>
      </c>
      <c r="I31">
        <v>0</v>
      </c>
      <c r="J31">
        <v>0</v>
      </c>
      <c r="K31">
        <v>18.218401583289349</v>
      </c>
      <c r="L31">
        <v>0.1416337535844949</v>
      </c>
      <c r="M31">
        <v>3.8472643793169781E-2</v>
      </c>
      <c r="N31">
        <v>2.6090446025769878</v>
      </c>
      <c r="O31" t="s">
        <v>24</v>
      </c>
      <c r="P31">
        <v>0.68614916286149163</v>
      </c>
      <c r="Q31">
        <v>18.218401583289349</v>
      </c>
      <c r="R31">
        <v>2.6090446025769878</v>
      </c>
    </row>
    <row r="32" spans="1:18" x14ac:dyDescent="0.25">
      <c r="A32">
        <v>12</v>
      </c>
      <c r="B32" t="s">
        <v>14</v>
      </c>
      <c r="C32">
        <v>0.97013388259526256</v>
      </c>
      <c r="D32">
        <v>2.34375</v>
      </c>
      <c r="E32">
        <v>0.107610531976777</v>
      </c>
      <c r="F32" t="s">
        <v>13</v>
      </c>
      <c r="G32">
        <v>0.9802289281997919</v>
      </c>
      <c r="H32">
        <v>0.98816738816738814</v>
      </c>
      <c r="I32">
        <v>0</v>
      </c>
      <c r="J32">
        <v>0</v>
      </c>
      <c r="K32">
        <v>1.875</v>
      </c>
      <c r="L32">
        <v>7.1110605915503319E-2</v>
      </c>
      <c r="M32">
        <v>3.1460696501217501E-2</v>
      </c>
      <c r="N32">
        <v>0.2301511051420044</v>
      </c>
      <c r="O32" t="s">
        <v>24</v>
      </c>
      <c r="P32">
        <v>0.9324954388810055</v>
      </c>
      <c r="Q32">
        <v>1.875</v>
      </c>
      <c r="R32">
        <v>0.2301511051420044</v>
      </c>
    </row>
    <row r="33" spans="1:18" x14ac:dyDescent="0.25">
      <c r="A33">
        <v>13</v>
      </c>
      <c r="B33" t="s">
        <v>14</v>
      </c>
      <c r="C33">
        <v>0.91833095577746082</v>
      </c>
      <c r="D33">
        <v>3.1500000953674321</v>
      </c>
      <c r="E33">
        <v>0.44314074964085898</v>
      </c>
      <c r="F33" t="s">
        <v>13</v>
      </c>
      <c r="G33">
        <v>0.96083274523641493</v>
      </c>
      <c r="H33">
        <v>0.95951972555746146</v>
      </c>
      <c r="I33">
        <v>2.8125</v>
      </c>
      <c r="J33">
        <v>1.499999999999488</v>
      </c>
      <c r="K33">
        <v>0.9375</v>
      </c>
      <c r="L33">
        <v>0.31320690017295832</v>
      </c>
      <c r="M33">
        <v>0.1046075217100738</v>
      </c>
      <c r="N33">
        <v>0.13762347403475</v>
      </c>
      <c r="O33" t="s">
        <v>24</v>
      </c>
      <c r="P33">
        <v>0.93801871799399617</v>
      </c>
      <c r="Q33">
        <v>0.9375</v>
      </c>
      <c r="R33">
        <v>0.13762347403475</v>
      </c>
    </row>
    <row r="34" spans="1:18" x14ac:dyDescent="0.25">
      <c r="A34">
        <v>14</v>
      </c>
      <c r="B34" t="s">
        <v>14</v>
      </c>
      <c r="C34">
        <v>0.94303891108152094</v>
      </c>
      <c r="D34">
        <v>2.8125</v>
      </c>
      <c r="E34">
        <v>0.17100646363314589</v>
      </c>
      <c r="F34" t="s">
        <v>13</v>
      </c>
      <c r="G34">
        <v>0.95105938525813194</v>
      </c>
      <c r="H34">
        <v>0.99195710455764075</v>
      </c>
      <c r="I34">
        <v>2.8125</v>
      </c>
      <c r="J34">
        <v>0</v>
      </c>
      <c r="K34">
        <v>0.9375</v>
      </c>
      <c r="L34">
        <v>0.14603154808753291</v>
      </c>
      <c r="M34">
        <v>2.114679133445823E-2</v>
      </c>
      <c r="N34">
        <v>8.2033095895398769E-2</v>
      </c>
      <c r="O34" t="s">
        <v>24</v>
      </c>
      <c r="P34">
        <v>0.93734110961567219</v>
      </c>
      <c r="Q34">
        <v>0.9375</v>
      </c>
      <c r="R34">
        <v>8.2033095895398769E-2</v>
      </c>
    </row>
    <row r="35" spans="1:18" x14ac:dyDescent="0.25">
      <c r="A35">
        <v>15</v>
      </c>
      <c r="B35" t="s">
        <v>14</v>
      </c>
      <c r="C35">
        <v>0.95352839931153188</v>
      </c>
      <c r="D35">
        <v>2.8125</v>
      </c>
      <c r="E35">
        <v>0.16989542751543499</v>
      </c>
      <c r="F35" t="s">
        <v>13</v>
      </c>
      <c r="G35">
        <v>0.96530967844131155</v>
      </c>
      <c r="H35">
        <v>0.9818456883509834</v>
      </c>
      <c r="I35">
        <v>2.34375</v>
      </c>
      <c r="J35">
        <v>0</v>
      </c>
      <c r="K35">
        <v>0.46875</v>
      </c>
      <c r="L35">
        <v>0.17475651431713479</v>
      </c>
      <c r="M35">
        <v>8.1310825437114292E-2</v>
      </c>
      <c r="N35">
        <v>6.3992479614648531E-2</v>
      </c>
      <c r="O35" t="s">
        <v>24</v>
      </c>
      <c r="P35">
        <v>0.94981587118203481</v>
      </c>
      <c r="Q35">
        <v>0.46875</v>
      </c>
      <c r="R35">
        <v>6.3992479614648531E-2</v>
      </c>
    </row>
    <row r="36" spans="1:18" x14ac:dyDescent="0.25">
      <c r="A36">
        <v>16</v>
      </c>
      <c r="B36" t="s">
        <v>14</v>
      </c>
      <c r="C36">
        <v>0.95331258337038682</v>
      </c>
      <c r="D36">
        <v>2.473958283662796</v>
      </c>
      <c r="E36">
        <v>0.1325334585289302</v>
      </c>
      <c r="F36" t="s">
        <v>13</v>
      </c>
      <c r="G36">
        <v>0.97343927355278093</v>
      </c>
      <c r="H36">
        <v>0.97984832069339112</v>
      </c>
      <c r="I36">
        <v>1.979166626930237</v>
      </c>
      <c r="J36">
        <v>0</v>
      </c>
      <c r="K36">
        <v>13.3593747317791</v>
      </c>
      <c r="L36">
        <v>7.0599295681750732E-2</v>
      </c>
      <c r="M36">
        <v>5.4632187092213083E-2</v>
      </c>
      <c r="N36">
        <v>1.1964653300742321</v>
      </c>
      <c r="O36" t="s">
        <v>24</v>
      </c>
      <c r="P36">
        <v>0.80899280575539567</v>
      </c>
      <c r="Q36">
        <v>13.3593747317791</v>
      </c>
      <c r="R36">
        <v>1.1964653300742321</v>
      </c>
    </row>
    <row r="37" spans="1:18" x14ac:dyDescent="0.25">
      <c r="A37">
        <v>17</v>
      </c>
      <c r="B37" t="s">
        <v>14</v>
      </c>
      <c r="C37">
        <v>0.9519464720194647</v>
      </c>
      <c r="D37">
        <v>2.8125</v>
      </c>
      <c r="E37">
        <v>0.14623282497636489</v>
      </c>
      <c r="F37" t="s">
        <v>13</v>
      </c>
      <c r="G37">
        <v>0.96994112178493952</v>
      </c>
      <c r="H37">
        <v>0.98197932053175774</v>
      </c>
      <c r="I37">
        <v>1.875</v>
      </c>
      <c r="J37">
        <v>0</v>
      </c>
      <c r="K37">
        <v>1.875</v>
      </c>
      <c r="L37">
        <v>8.7450771993358822E-2</v>
      </c>
      <c r="M37">
        <v>4.5540503412646913E-2</v>
      </c>
      <c r="N37">
        <v>0.19005138325512069</v>
      </c>
      <c r="O37" t="s">
        <v>24</v>
      </c>
      <c r="P37">
        <v>0.92360643471754578</v>
      </c>
      <c r="Q37">
        <v>1.875</v>
      </c>
      <c r="R37">
        <v>0.19005138325512069</v>
      </c>
    </row>
    <row r="38" spans="1:18" x14ac:dyDescent="0.25">
      <c r="A38">
        <v>18</v>
      </c>
      <c r="B38" t="s">
        <v>14</v>
      </c>
      <c r="C38">
        <v>0.9519725557461407</v>
      </c>
      <c r="D38">
        <v>2.34375</v>
      </c>
      <c r="E38">
        <v>0.1464180615017526</v>
      </c>
      <c r="F38" t="s">
        <v>13</v>
      </c>
      <c r="G38">
        <v>0.97352690008539711</v>
      </c>
      <c r="H38">
        <v>0.97911445279866327</v>
      </c>
      <c r="I38">
        <v>1.875</v>
      </c>
      <c r="J38">
        <v>0</v>
      </c>
      <c r="K38">
        <v>0</v>
      </c>
      <c r="L38">
        <v>8.4861464035957637E-2</v>
      </c>
      <c r="M38">
        <v>5.3638309200654231E-2</v>
      </c>
      <c r="N38">
        <v>4.5586764172492487E-2</v>
      </c>
      <c r="O38" t="s">
        <v>24</v>
      </c>
      <c r="P38">
        <v>0.96000463714351958</v>
      </c>
      <c r="Q38">
        <v>0</v>
      </c>
      <c r="R38">
        <v>4.5586764172492487E-2</v>
      </c>
    </row>
    <row r="39" spans="1:18" x14ac:dyDescent="0.25">
      <c r="A39">
        <v>19</v>
      </c>
      <c r="B39" t="s">
        <v>14</v>
      </c>
      <c r="C39">
        <v>0.9541761455963601</v>
      </c>
      <c r="D39">
        <v>2.473958283662796</v>
      </c>
      <c r="E39">
        <v>0.12726262498917859</v>
      </c>
      <c r="F39" t="s">
        <v>13</v>
      </c>
      <c r="G39">
        <v>0.97243769598943719</v>
      </c>
      <c r="H39">
        <v>0.97959183673469385</v>
      </c>
      <c r="I39">
        <v>1.979166626930237</v>
      </c>
      <c r="J39">
        <v>0</v>
      </c>
      <c r="K39">
        <v>2.9687499403953548</v>
      </c>
      <c r="L39">
        <v>8.0813622642942715E-2</v>
      </c>
      <c r="M39">
        <v>5.1960014201726239E-2</v>
      </c>
      <c r="N39">
        <v>0.19502591032291189</v>
      </c>
      <c r="O39" t="s">
        <v>24</v>
      </c>
      <c r="P39">
        <v>0.92001787310098304</v>
      </c>
      <c r="Q39">
        <v>2.9687499403953548</v>
      </c>
      <c r="R39">
        <v>0.19502591032291189</v>
      </c>
    </row>
    <row r="51" spans="1:15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26</v>
      </c>
      <c r="I51" s="2" t="s">
        <v>15</v>
      </c>
    </row>
    <row r="52" spans="1:15" x14ac:dyDescent="0.25">
      <c r="A52">
        <v>1</v>
      </c>
      <c r="B52" t="s">
        <v>12</v>
      </c>
      <c r="C52">
        <v>0.93855292628298759</v>
      </c>
      <c r="D52">
        <v>3.1500000953674321</v>
      </c>
      <c r="E52">
        <v>0.21224600468101329</v>
      </c>
      <c r="G52" t="s">
        <v>19</v>
      </c>
      <c r="H52" t="s">
        <v>16</v>
      </c>
      <c r="I52">
        <f>AVERAGE(C52:C70)</f>
        <v>0.95149134475397323</v>
      </c>
      <c r="J52" t="s">
        <v>17</v>
      </c>
      <c r="K52">
        <f>_xlfn.VAR.S(C52:C70)</f>
        <v>2.6539363537384045E-4</v>
      </c>
      <c r="L52" t="s">
        <v>18</v>
      </c>
      <c r="M52">
        <f>SQRT(K52)</f>
        <v>1.6290906524004133E-2</v>
      </c>
      <c r="N52" t="s">
        <v>25</v>
      </c>
      <c r="O52">
        <f>MEDIAN(C52:C70)</f>
        <v>0.95451619824072087</v>
      </c>
    </row>
    <row r="53" spans="1:15" x14ac:dyDescent="0.25">
      <c r="A53">
        <v>2</v>
      </c>
      <c r="B53" t="s">
        <v>12</v>
      </c>
      <c r="C53">
        <v>0.94956563706563701</v>
      </c>
      <c r="D53">
        <v>2.8125</v>
      </c>
      <c r="E53">
        <v>0.14205098433282981</v>
      </c>
      <c r="G53" t="s">
        <v>20</v>
      </c>
      <c r="H53" t="s">
        <v>16</v>
      </c>
      <c r="I53">
        <f>AVERAGE(C71:C89)</f>
        <v>0.94942042909559898</v>
      </c>
      <c r="J53" t="s">
        <v>17</v>
      </c>
      <c r="K53">
        <f>_xlfn.VAR.S(C71:C89)</f>
        <v>1.479674145574121E-4</v>
      </c>
      <c r="L53" t="s">
        <v>18</v>
      </c>
      <c r="M53">
        <f>SQRT(K53)</f>
        <v>1.2164185733431239E-2</v>
      </c>
      <c r="N53" t="s">
        <v>25</v>
      </c>
      <c r="O53">
        <f>MEDIAN(C71:C89)</f>
        <v>0.9519464720194647</v>
      </c>
    </row>
    <row r="54" spans="1:15" x14ac:dyDescent="0.25">
      <c r="A54">
        <v>3</v>
      </c>
      <c r="B54" t="s">
        <v>12</v>
      </c>
      <c r="C54">
        <v>0.9454681089145841</v>
      </c>
      <c r="D54">
        <v>2.8125</v>
      </c>
      <c r="E54">
        <v>0.18217340332726911</v>
      </c>
    </row>
    <row r="55" spans="1:15" x14ac:dyDescent="0.25">
      <c r="A55">
        <v>4</v>
      </c>
      <c r="B55" t="s">
        <v>12</v>
      </c>
      <c r="C55">
        <v>0.92022585782539457</v>
      </c>
      <c r="D55">
        <v>3</v>
      </c>
      <c r="E55">
        <v>0.22604127759101189</v>
      </c>
      <c r="I55" t="s">
        <v>21</v>
      </c>
    </row>
    <row r="56" spans="1:15" x14ac:dyDescent="0.25">
      <c r="A56">
        <v>5</v>
      </c>
      <c r="B56" t="s">
        <v>12</v>
      </c>
      <c r="C56">
        <v>0.94592022151077271</v>
      </c>
      <c r="D56">
        <v>2.8125</v>
      </c>
      <c r="E56">
        <v>0.1559784513979966</v>
      </c>
      <c r="G56" t="s">
        <v>19</v>
      </c>
      <c r="H56" t="s">
        <v>16</v>
      </c>
      <c r="I56">
        <f>AVERAGE(D52:D70)</f>
        <v>2.3754385897987769</v>
      </c>
      <c r="J56" t="s">
        <v>17</v>
      </c>
      <c r="K56">
        <f>_xlfn.VAR.S(D52:D70)</f>
        <v>0.81786920220570158</v>
      </c>
      <c r="L56" t="s">
        <v>18</v>
      </c>
      <c r="M56">
        <f>SQRT(K56)</f>
        <v>0.90436121224082888</v>
      </c>
      <c r="N56" t="s">
        <v>25</v>
      </c>
      <c r="O56">
        <f>MEDIAN(D52:D70)</f>
        <v>2.8125</v>
      </c>
    </row>
    <row r="57" spans="1:15" x14ac:dyDescent="0.25">
      <c r="A57">
        <v>6</v>
      </c>
      <c r="B57" t="s">
        <v>12</v>
      </c>
      <c r="C57">
        <v>0.95841092489137181</v>
      </c>
      <c r="D57">
        <v>2.8125</v>
      </c>
      <c r="E57">
        <v>0.12553884435993359</v>
      </c>
      <c r="G57" t="s">
        <v>20</v>
      </c>
      <c r="H57" t="s">
        <v>16</v>
      </c>
      <c r="I57">
        <f>AVERAGE(D71:D89)</f>
        <v>2.7926535135821293</v>
      </c>
      <c r="J57" t="s">
        <v>17</v>
      </c>
      <c r="K57">
        <f>_xlfn.VAR.S(D71:D89)</f>
        <v>7.9662491039309502E-2</v>
      </c>
      <c r="L57" t="s">
        <v>18</v>
      </c>
      <c r="M57">
        <f>SQRT(K57)</f>
        <v>0.28224544467415147</v>
      </c>
      <c r="N57" t="s">
        <v>25</v>
      </c>
      <c r="O57">
        <f>MEDIAN(D71:D89)</f>
        <v>2.8125</v>
      </c>
    </row>
    <row r="58" spans="1:15" x14ac:dyDescent="0.25">
      <c r="A58">
        <v>7</v>
      </c>
      <c r="B58" t="s">
        <v>12</v>
      </c>
      <c r="C58">
        <v>0.95451619824072087</v>
      </c>
      <c r="D58">
        <v>2.8125</v>
      </c>
      <c r="E58">
        <v>0.1246937794901324</v>
      </c>
      <c r="I58" t="s">
        <v>27</v>
      </c>
    </row>
    <row r="59" spans="1:15" x14ac:dyDescent="0.25">
      <c r="A59">
        <v>8</v>
      </c>
      <c r="B59" t="s">
        <v>12</v>
      </c>
      <c r="C59">
        <v>0.96124260355029589</v>
      </c>
      <c r="D59">
        <v>2.34375</v>
      </c>
      <c r="E59">
        <v>0.1160478705547542</v>
      </c>
      <c r="G59" t="s">
        <v>19</v>
      </c>
      <c r="H59" t="s">
        <v>16</v>
      </c>
      <c r="I59">
        <f>AVERAGE(E52:E70)</f>
        <v>0.14581754448860001</v>
      </c>
      <c r="J59" t="s">
        <v>17</v>
      </c>
      <c r="K59">
        <f>_xlfn.VAR.S(E52:E70)</f>
        <v>2.3431676812975654E-3</v>
      </c>
      <c r="L59" t="s">
        <v>18</v>
      </c>
      <c r="M59">
        <f>SQRT(K59)</f>
        <v>4.8406277292284784E-2</v>
      </c>
      <c r="N59" t="s">
        <v>25</v>
      </c>
      <c r="O59">
        <f>MEDIAN(E52:E70)</f>
        <v>0.12553884435993359</v>
      </c>
    </row>
    <row r="60" spans="1:15" x14ac:dyDescent="0.25">
      <c r="A60">
        <v>9</v>
      </c>
      <c r="B60" t="s">
        <v>12</v>
      </c>
      <c r="C60">
        <v>0.96353039134054952</v>
      </c>
      <c r="D60">
        <v>2.34375</v>
      </c>
      <c r="E60">
        <v>9.9907141913439856E-2</v>
      </c>
      <c r="G60" t="s">
        <v>20</v>
      </c>
      <c r="H60" t="s">
        <v>16</v>
      </c>
      <c r="I60">
        <f>AVERAGE(E71:E89)</f>
        <v>0.20348224819824093</v>
      </c>
      <c r="J60" t="s">
        <v>17</v>
      </c>
      <c r="K60">
        <f>_xlfn.VAR.S(E71:E89)</f>
        <v>1.1549133663018549E-2</v>
      </c>
      <c r="L60" t="s">
        <v>18</v>
      </c>
      <c r="M60">
        <f>SQRT(K60)</f>
        <v>0.10746689566102927</v>
      </c>
      <c r="N60" t="s">
        <v>25</v>
      </c>
      <c r="O60">
        <f>MEDIAN(E71:E89)</f>
        <v>0.16989542751543499</v>
      </c>
    </row>
    <row r="61" spans="1:15" x14ac:dyDescent="0.25">
      <c r="A61">
        <v>10</v>
      </c>
      <c r="B61" t="s">
        <v>12</v>
      </c>
      <c r="C61">
        <v>0.96171818835370237</v>
      </c>
      <c r="D61">
        <v>2.34375</v>
      </c>
      <c r="E61">
        <v>0.1140519443611122</v>
      </c>
    </row>
    <row r="62" spans="1:15" x14ac:dyDescent="0.25">
      <c r="A62">
        <v>11</v>
      </c>
      <c r="B62" t="s">
        <v>12</v>
      </c>
      <c r="C62">
        <v>0.97572611196857018</v>
      </c>
      <c r="D62" s="4">
        <v>0</v>
      </c>
      <c r="E62">
        <v>8.0962048702279008E-2</v>
      </c>
    </row>
    <row r="63" spans="1:15" x14ac:dyDescent="0.25">
      <c r="A63">
        <v>12</v>
      </c>
      <c r="B63" t="s">
        <v>12</v>
      </c>
      <c r="C63">
        <v>0.96625929861849091</v>
      </c>
      <c r="D63">
        <v>2.34375</v>
      </c>
      <c r="E63">
        <v>0.1141023925068194</v>
      </c>
    </row>
    <row r="64" spans="1:15" x14ac:dyDescent="0.25">
      <c r="A64">
        <v>13</v>
      </c>
      <c r="B64" t="s">
        <v>12</v>
      </c>
      <c r="C64">
        <v>0.92808566054116626</v>
      </c>
      <c r="D64">
        <v>2.8125</v>
      </c>
      <c r="E64">
        <v>0.23571035643234481</v>
      </c>
    </row>
    <row r="65" spans="1:6" x14ac:dyDescent="0.25">
      <c r="A65">
        <v>14</v>
      </c>
      <c r="B65" t="s">
        <v>12</v>
      </c>
      <c r="C65">
        <v>0.92398713826366563</v>
      </c>
      <c r="D65">
        <v>3.149999856948853</v>
      </c>
      <c r="E65">
        <v>0.21207088923602471</v>
      </c>
    </row>
    <row r="66" spans="1:6" x14ac:dyDescent="0.25">
      <c r="A66">
        <v>15</v>
      </c>
      <c r="B66" t="s">
        <v>12</v>
      </c>
      <c r="C66">
        <v>0.93663530713890431</v>
      </c>
      <c r="D66">
        <v>2.8125</v>
      </c>
      <c r="E66">
        <v>0.17918330225780549</v>
      </c>
    </row>
    <row r="67" spans="1:6" x14ac:dyDescent="0.25">
      <c r="A67">
        <v>16</v>
      </c>
      <c r="B67" t="s">
        <v>12</v>
      </c>
      <c r="C67">
        <v>0.96637646352446716</v>
      </c>
      <c r="D67">
        <v>1.979166626930237</v>
      </c>
      <c r="E67">
        <v>9.0177644443851179E-2</v>
      </c>
    </row>
    <row r="68" spans="1:6" x14ac:dyDescent="0.25">
      <c r="A68">
        <v>17</v>
      </c>
      <c r="B68" t="s">
        <v>12</v>
      </c>
      <c r="C68">
        <v>0.94701429772918422</v>
      </c>
      <c r="D68">
        <v>2.8125</v>
      </c>
      <c r="E68">
        <v>0.1419052065043705</v>
      </c>
    </row>
    <row r="69" spans="1:6" x14ac:dyDescent="0.25">
      <c r="A69">
        <v>18</v>
      </c>
      <c r="B69" t="s">
        <v>12</v>
      </c>
      <c r="C69">
        <v>0.96156351791530947</v>
      </c>
      <c r="D69" s="4">
        <v>0</v>
      </c>
      <c r="E69">
        <v>0.12277908392765979</v>
      </c>
    </row>
    <row r="70" spans="1:6" x14ac:dyDescent="0.25">
      <c r="A70">
        <v>19</v>
      </c>
      <c r="B70" t="s">
        <v>12</v>
      </c>
      <c r="C70">
        <v>0.97353669664971976</v>
      </c>
      <c r="D70">
        <v>1.979166626930237</v>
      </c>
      <c r="E70">
        <v>9.4912719262752535E-2</v>
      </c>
    </row>
    <row r="71" spans="1:6" x14ac:dyDescent="0.25">
      <c r="A71">
        <v>1</v>
      </c>
      <c r="B71" t="s">
        <v>14</v>
      </c>
      <c r="C71">
        <v>0.93123359580052489</v>
      </c>
      <c r="D71">
        <v>3.28125</v>
      </c>
      <c r="E71">
        <v>0.26555199989663059</v>
      </c>
    </row>
    <row r="72" spans="1:6" x14ac:dyDescent="0.25">
      <c r="A72">
        <v>2</v>
      </c>
      <c r="B72" t="s">
        <v>14</v>
      </c>
      <c r="C72">
        <v>0.94361080398041386</v>
      </c>
      <c r="D72">
        <v>3.1500000953674321</v>
      </c>
      <c r="E72">
        <v>0.22392159887241461</v>
      </c>
    </row>
    <row r="73" spans="1:6" x14ac:dyDescent="0.25">
      <c r="A73">
        <v>3</v>
      </c>
      <c r="B73" t="s">
        <v>14</v>
      </c>
      <c r="C73">
        <v>0.95127342623738587</v>
      </c>
      <c r="D73">
        <v>2.8125</v>
      </c>
      <c r="E73">
        <v>0.16950597210273591</v>
      </c>
    </row>
    <row r="74" spans="1:6" x14ac:dyDescent="0.25">
      <c r="A74">
        <v>4</v>
      </c>
      <c r="B74" t="s">
        <v>14</v>
      </c>
      <c r="C74">
        <v>0.93225545675020205</v>
      </c>
      <c r="D74">
        <v>3</v>
      </c>
      <c r="E74">
        <v>0.19374346019096339</v>
      </c>
    </row>
    <row r="75" spans="1:6" x14ac:dyDescent="0.25">
      <c r="A75">
        <v>5</v>
      </c>
      <c r="B75" t="s">
        <v>14</v>
      </c>
      <c r="C75">
        <v>0.9473579063030666</v>
      </c>
      <c r="D75">
        <v>2.8125</v>
      </c>
      <c r="E75">
        <v>0.18104892229024239</v>
      </c>
    </row>
    <row r="76" spans="1:6" x14ac:dyDescent="0.25">
      <c r="A76">
        <v>6</v>
      </c>
      <c r="B76" t="s">
        <v>14</v>
      </c>
      <c r="C76">
        <v>0.95751005420528068</v>
      </c>
      <c r="D76">
        <v>2.8125</v>
      </c>
      <c r="E76">
        <v>0.1446000585104206</v>
      </c>
    </row>
    <row r="77" spans="1:6" x14ac:dyDescent="0.25">
      <c r="A77">
        <v>7</v>
      </c>
      <c r="B77" t="s">
        <v>14</v>
      </c>
      <c r="C77">
        <v>0.94588744588744589</v>
      </c>
      <c r="D77">
        <v>3</v>
      </c>
      <c r="E77" s="4">
        <v>0.52223461578237551</v>
      </c>
      <c r="F77" s="3"/>
    </row>
    <row r="78" spans="1:6" x14ac:dyDescent="0.25">
      <c r="A78">
        <v>8</v>
      </c>
      <c r="B78" t="s">
        <v>14</v>
      </c>
      <c r="C78">
        <v>0.96033327295779747</v>
      </c>
      <c r="D78">
        <v>2.8125</v>
      </c>
      <c r="E78">
        <v>0.14920450884987571</v>
      </c>
    </row>
    <row r="79" spans="1:6" x14ac:dyDescent="0.25">
      <c r="A79">
        <v>9</v>
      </c>
      <c r="B79" t="s">
        <v>14</v>
      </c>
      <c r="C79">
        <v>0.9502012072434608</v>
      </c>
      <c r="D79">
        <v>3</v>
      </c>
      <c r="E79">
        <v>0.23031501634875301</v>
      </c>
    </row>
    <row r="80" spans="1:6" x14ac:dyDescent="0.25">
      <c r="A80">
        <v>10</v>
      </c>
      <c r="B80" t="s">
        <v>14</v>
      </c>
      <c r="C80">
        <v>0.95970627000564868</v>
      </c>
      <c r="D80">
        <v>2.34375</v>
      </c>
      <c r="E80">
        <v>0.1218581016385125</v>
      </c>
    </row>
    <row r="81" spans="1:6" x14ac:dyDescent="0.25">
      <c r="A81">
        <v>11</v>
      </c>
      <c r="B81" t="s">
        <v>14</v>
      </c>
      <c r="C81">
        <v>0.96317880794701982</v>
      </c>
      <c r="D81">
        <v>2.8125</v>
      </c>
      <c r="E81">
        <v>0.22007831852121029</v>
      </c>
    </row>
    <row r="82" spans="1:6" x14ac:dyDescent="0.25">
      <c r="A82">
        <v>12</v>
      </c>
      <c r="B82" t="s">
        <v>14</v>
      </c>
      <c r="C82">
        <v>0.97013388259526256</v>
      </c>
      <c r="D82">
        <v>2.34375</v>
      </c>
      <c r="E82">
        <v>0.107610531976777</v>
      </c>
    </row>
    <row r="83" spans="1:6" x14ac:dyDescent="0.25">
      <c r="A83">
        <v>13</v>
      </c>
      <c r="B83" t="s">
        <v>14</v>
      </c>
      <c r="C83" s="4">
        <v>0.91833095577746082</v>
      </c>
      <c r="D83">
        <v>3.1500000953674321</v>
      </c>
      <c r="E83" s="4">
        <v>0.44314074964085898</v>
      </c>
      <c r="F83" s="3"/>
    </row>
    <row r="84" spans="1:6" x14ac:dyDescent="0.25">
      <c r="A84">
        <v>14</v>
      </c>
      <c r="B84" t="s">
        <v>14</v>
      </c>
      <c r="C84">
        <v>0.94303891108152094</v>
      </c>
      <c r="D84">
        <v>2.8125</v>
      </c>
      <c r="E84">
        <v>0.17100646363314589</v>
      </c>
    </row>
    <row r="85" spans="1:6" x14ac:dyDescent="0.25">
      <c r="A85">
        <v>15</v>
      </c>
      <c r="B85" t="s">
        <v>14</v>
      </c>
      <c r="C85">
        <v>0.95352839931153188</v>
      </c>
      <c r="D85">
        <v>2.8125</v>
      </c>
      <c r="E85">
        <v>0.16989542751543499</v>
      </c>
    </row>
    <row r="86" spans="1:6" x14ac:dyDescent="0.25">
      <c r="A86">
        <v>16</v>
      </c>
      <c r="B86" t="s">
        <v>14</v>
      </c>
      <c r="C86">
        <v>0.95331258337038682</v>
      </c>
      <c r="D86">
        <v>2.473958283662796</v>
      </c>
      <c r="E86">
        <v>0.1325334585289302</v>
      </c>
    </row>
    <row r="87" spans="1:6" x14ac:dyDescent="0.25">
      <c r="A87">
        <v>17</v>
      </c>
      <c r="B87" t="s">
        <v>14</v>
      </c>
      <c r="C87">
        <v>0.9519464720194647</v>
      </c>
      <c r="D87">
        <v>2.8125</v>
      </c>
      <c r="E87">
        <v>0.14623282497636489</v>
      </c>
    </row>
    <row r="88" spans="1:6" x14ac:dyDescent="0.25">
      <c r="A88">
        <v>18</v>
      </c>
      <c r="B88" t="s">
        <v>14</v>
      </c>
      <c r="C88">
        <v>0.9519725557461407</v>
      </c>
      <c r="D88">
        <v>2.34375</v>
      </c>
      <c r="E88">
        <v>0.1464180615017526</v>
      </c>
    </row>
    <row r="89" spans="1:6" x14ac:dyDescent="0.25">
      <c r="A89">
        <v>19</v>
      </c>
      <c r="B89" t="s">
        <v>14</v>
      </c>
      <c r="C89">
        <v>0.9541761455963601</v>
      </c>
      <c r="D89">
        <v>2.473958283662796</v>
      </c>
      <c r="E89">
        <v>0.12726262498917859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Verbeek, Bob</cp:lastModifiedBy>
  <dcterms:created xsi:type="dcterms:W3CDTF">2026-04-03T19:35:10Z</dcterms:created>
  <dcterms:modified xsi:type="dcterms:W3CDTF">2026-04-05T21:09:02Z</dcterms:modified>
</cp:coreProperties>
</file>